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ttonMap - EXCALIB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<sst xmlns="http://schemas.openxmlformats.org/spreadsheetml/2006/main" count="70" uniqueCount="29">
  <si>
    <t xml:space="preserve">Button_ID</t>
  </si>
  <si>
    <t xml:space="preserve">x0</t>
  </si>
  <si>
    <t xml:space="preserve">y0</t>
  </si>
  <si>
    <t xml:space="preserve">x1</t>
  </si>
  <si>
    <t xml:space="preserve">y1</t>
  </si>
  <si>
    <t xml:space="preserve">Parent_ID</t>
  </si>
  <si>
    <t xml:space="preserve">xp</t>
  </si>
  <si>
    <t xml:space="preserve">yp</t>
  </si>
  <si>
    <t xml:space="preserve">zp</t>
  </si>
  <si>
    <t xml:space="preserve">q1</t>
  </si>
  <si>
    <t xml:space="preserve">q2</t>
  </si>
  <si>
    <t xml:space="preserve">q3</t>
  </si>
  <si>
    <t xml:space="preserve">q4</t>
  </si>
  <si>
    <t xml:space="preserve">Idx</t>
  </si>
  <si>
    <t xml:space="preserve">Target_Main</t>
  </si>
  <si>
    <t xml:space="preserve">Target_A</t>
  </si>
  <si>
    <t xml:space="preserve">Target_B</t>
  </si>
  <si>
    <t xml:space="preserve">Marker to button gap (horizontal)</t>
  </si>
  <si>
    <t xml:space="preserve">Target_C</t>
  </si>
  <si>
    <t xml:space="preserve">Target_D</t>
  </si>
  <si>
    <t xml:space="preserve">(Relative to button)</t>
  </si>
  <si>
    <t xml:space="preserve">Offset Horizontal</t>
  </si>
  <si>
    <t xml:space="preserve">Left of marker is positive</t>
  </si>
  <si>
    <t xml:space="preserve">Target_E</t>
  </si>
  <si>
    <t xml:space="preserve">Offset Vertical</t>
  </si>
  <si>
    <t xml:space="preserve">Target_F</t>
  </si>
  <si>
    <t xml:space="preserve">Above marker is positive</t>
  </si>
  <si>
    <t xml:space="preserve">Target_G</t>
  </si>
  <si>
    <t xml:space="preserve">Target_H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</si>
</sst>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i val="true"/>
      <sz val="10"/>
      <name val="Arial"/>
      <family val="2"/>
      <charset val="1"/>
    </font>
    <font>
      <b val="true"/>
      <sz val="1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FD095"/>
        <bgColor rgb="FF99CCFF"/>
      </patternFill>
    </fill>
    <fill>
      <patternFill patternType="solid">
        <fgColor rgb="FFE8F2A1"/>
        <bgColor rgb="FFFFFFCC"/>
      </patternFill>
    </fill>
    <fill>
      <patternFill patternType="solid">
        <fgColor rgb="FF81ACA6"/>
        <bgColor rgb="FF729FCF"/>
      </patternFill>
    </fill>
    <fill>
      <patternFill patternType="solid">
        <fgColor rgb="FF729FCF"/>
        <bgColor rgb="FF81ACA6"/>
      </patternFill>
    </fill>
    <fill>
      <patternFill patternType="solid">
        <fgColor rgb="FFFFA6A6"/>
        <bgColor rgb="FFFFCC99"/>
      </patternFill>
    </fill>
    <fill>
      <patternFill patternType="solid">
        <fgColor rgb="FFA7074B"/>
        <bgColor rgb="FF8D1D75"/>
      </patternFill>
    </fill>
    <fill>
      <patternFill patternType="solid">
        <fgColor rgb="FF8D1D75"/>
        <bgColor rgb="FF993366"/>
      </patternFill>
    </fill>
    <fill>
      <patternFill patternType="solid">
        <fgColor rgb="FFED4C05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A7074B"/>
      <rgbColor rgb="FF008080"/>
      <rgbColor rgb="FFAFD095"/>
      <rgbColor rgb="FF808080"/>
      <rgbColor rgb="FF729FCF"/>
      <rgbColor rgb="FF8D1D7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ED4C05"/>
      <rgbColor rgb="FF666699"/>
      <rgbColor rgb="FF81AC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true" showOutlineSymbols="true" defaultGridColor="true" view="normal" topLeftCell="A1" colorId="64" zoomScale="137" zoomScaleNormal="137" zoomScalePageLayoutView="100" workbookViewId="0">
      <selection pane="topLeft" activeCell="G7" activeCellId="0" sqref="G7"/>
    </sheetView>
  </sheetViews>
  <sheetFormatPr defaultColWidth="11.53515625" defaultRowHeight="12.8" zeroHeight="false" outlineLevelRow="0" outlineLevelCol="0"/>
  <cols>
    <col collapsed="false" customWidth="true" hidden="false" outlineLevel="0" max="3" min="2" style="1" width="3.51"/>
    <col collapsed="false" customWidth="true" hidden="false" outlineLevel="0" max="5" min="4" style="1" width="4.07"/>
    <col collapsed="false" customWidth="true" hidden="false" outlineLevel="0" max="6" min="6" style="1" width="9.64"/>
    <col collapsed="false" customWidth="true" hidden="false" outlineLevel="0" max="8" min="7" style="1" width="11.68"/>
    <col collapsed="false" customWidth="true" hidden="false" outlineLevel="0" max="9" min="9" style="1" width="6.2"/>
    <col collapsed="false" customWidth="true" hidden="false" outlineLevel="0" max="13" min="10" style="1" width="3.51"/>
    <col collapsed="false" customWidth="true" hidden="false" outlineLevel="0" max="14" min="14" style="2" width="16.81"/>
    <col collapsed="false" customWidth="true" hidden="false" outlineLevel="0" max="17" min="17" style="1" width="34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customFormat="false" ht="12.8" hidden="false" customHeight="false" outlineLevel="0" collapsed="false">
      <c r="A2" s="1" t="s">
        <v>14</v>
      </c>
      <c r="B2" s="1" t="n">
        <v>20</v>
      </c>
      <c r="C2" s="1" t="n">
        <v>25</v>
      </c>
      <c r="D2" s="1" t="n">
        <v>-20</v>
      </c>
      <c r="E2" s="1" t="n">
        <v>-36</v>
      </c>
      <c r="F2" s="1" t="n">
        <v>90</v>
      </c>
      <c r="G2" s="1" t="n">
        <v>0</v>
      </c>
      <c r="H2" s="3" t="n">
        <f aca="false">$Q$7</f>
        <v>95.62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</v>
      </c>
      <c r="N2" s="2" t="s">
        <v>14</v>
      </c>
    </row>
    <row r="3" customFormat="false" ht="12.8" hidden="false" customHeight="false" outlineLevel="0" collapsed="false">
      <c r="A3" s="1" t="s">
        <v>14</v>
      </c>
      <c r="B3" s="1" t="n">
        <v>20</v>
      </c>
      <c r="C3" s="1" t="n">
        <v>25</v>
      </c>
      <c r="D3" s="1" t="n">
        <v>-20</v>
      </c>
      <c r="E3" s="1" t="n">
        <v>-36</v>
      </c>
      <c r="F3" s="1" t="n">
        <v>92</v>
      </c>
      <c r="G3" s="3" t="n">
        <f aca="false">$Q$7</f>
        <v>95.62</v>
      </c>
      <c r="H3" s="1" t="n">
        <v>0</v>
      </c>
      <c r="I3" s="1" t="n">
        <v>0</v>
      </c>
      <c r="J3" s="1" t="n">
        <v>1</v>
      </c>
      <c r="K3" s="1" t="n">
        <v>0</v>
      </c>
      <c r="L3" s="1" t="n">
        <v>0</v>
      </c>
      <c r="M3" s="1" t="n">
        <v>0</v>
      </c>
      <c r="N3" s="2" t="s">
        <v>14</v>
      </c>
    </row>
    <row r="4" customFormat="false" ht="12.8" hidden="false" customHeight="false" outlineLevel="0" collapsed="false">
      <c r="A4" s="1" t="s">
        <v>14</v>
      </c>
      <c r="B4" s="1" t="n">
        <v>20</v>
      </c>
      <c r="C4" s="1" t="n">
        <v>25</v>
      </c>
      <c r="D4" s="1" t="n">
        <v>-20</v>
      </c>
      <c r="E4" s="1" t="n">
        <v>-36</v>
      </c>
      <c r="F4" s="1" t="n">
        <v>91</v>
      </c>
      <c r="G4" s="3" t="n">
        <f aca="false">-$Q$7</f>
        <v>-95.62</v>
      </c>
      <c r="H4" s="1" t="n">
        <v>0</v>
      </c>
      <c r="I4" s="1" t="n">
        <v>0</v>
      </c>
      <c r="J4" s="1" t="n">
        <v>1</v>
      </c>
      <c r="K4" s="1" t="n">
        <v>0</v>
      </c>
      <c r="L4" s="1" t="n">
        <v>0</v>
      </c>
      <c r="M4" s="1" t="n">
        <v>0</v>
      </c>
      <c r="N4" s="2" t="s">
        <v>14</v>
      </c>
    </row>
    <row r="5" customFormat="false" ht="12.8" hidden="false" customHeight="false" outlineLevel="0" collapsed="false">
      <c r="A5" s="3" t="s">
        <v>15</v>
      </c>
      <c r="B5" s="3" t="n">
        <v>40</v>
      </c>
      <c r="C5" s="3" t="n">
        <v>40</v>
      </c>
      <c r="D5" s="3" t="n">
        <v>-40</v>
      </c>
      <c r="E5" s="3" t="n">
        <v>-40</v>
      </c>
      <c r="F5" s="4" t="n">
        <v>93</v>
      </c>
      <c r="G5" s="3" t="n">
        <f aca="false">$Q$7</f>
        <v>95.62</v>
      </c>
      <c r="H5" s="3" t="n">
        <v>0</v>
      </c>
      <c r="I5" s="3" t="n">
        <v>0</v>
      </c>
      <c r="J5" s="3" t="n">
        <v>1</v>
      </c>
      <c r="K5" s="3" t="n">
        <v>0</v>
      </c>
      <c r="L5" s="3" t="n">
        <v>0</v>
      </c>
      <c r="M5" s="3" t="n">
        <v>0</v>
      </c>
      <c r="N5" s="5" t="s">
        <v>15</v>
      </c>
    </row>
    <row r="6" customFormat="false" ht="12.8" hidden="false" customHeight="false" outlineLevel="0" collapsed="false">
      <c r="A6" s="3" t="s">
        <v>16</v>
      </c>
      <c r="B6" s="3" t="n">
        <v>40</v>
      </c>
      <c r="C6" s="3" t="n">
        <v>40</v>
      </c>
      <c r="D6" s="3" t="n">
        <v>-40</v>
      </c>
      <c r="E6" s="3" t="n">
        <v>-40</v>
      </c>
      <c r="F6" s="6" t="n">
        <v>94</v>
      </c>
      <c r="G6" s="3" t="n">
        <f aca="false">$Q$7</f>
        <v>95.62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5" t="s">
        <v>16</v>
      </c>
      <c r="Q6" s="3" t="s">
        <v>17</v>
      </c>
    </row>
    <row r="7" customFormat="false" ht="12.8" hidden="false" customHeight="false" outlineLevel="0" collapsed="false">
      <c r="A7" s="3" t="s">
        <v>18</v>
      </c>
      <c r="B7" s="3" t="n">
        <v>40</v>
      </c>
      <c r="C7" s="3" t="n">
        <v>40</v>
      </c>
      <c r="D7" s="3" t="n">
        <v>-40</v>
      </c>
      <c r="E7" s="3" t="n">
        <v>-40</v>
      </c>
      <c r="F7" s="7" t="n">
        <v>95</v>
      </c>
      <c r="G7" s="3" t="n">
        <f aca="false">$Q$7</f>
        <v>95.62</v>
      </c>
      <c r="H7" s="3" t="n">
        <v>0</v>
      </c>
      <c r="I7" s="3" t="n">
        <v>0</v>
      </c>
      <c r="J7" s="3" t="n">
        <v>1</v>
      </c>
      <c r="K7" s="3" t="n">
        <v>0</v>
      </c>
      <c r="L7" s="3" t="n">
        <v>0</v>
      </c>
      <c r="M7" s="3" t="n">
        <v>0</v>
      </c>
      <c r="N7" s="5" t="s">
        <v>18</v>
      </c>
      <c r="Q7" s="8" t="n">
        <v>95.62</v>
      </c>
    </row>
    <row r="8" customFormat="false" ht="12.8" hidden="false" customHeight="false" outlineLevel="0" collapsed="false">
      <c r="A8" s="3" t="s">
        <v>19</v>
      </c>
      <c r="B8" s="3" t="n">
        <v>40</v>
      </c>
      <c r="C8" s="3" t="n">
        <v>40</v>
      </c>
      <c r="D8" s="3" t="n">
        <v>-40</v>
      </c>
      <c r="E8" s="3" t="n">
        <v>-40</v>
      </c>
      <c r="F8" s="9" t="n">
        <v>96</v>
      </c>
      <c r="G8" s="3" t="n">
        <f aca="false">$Q$7</f>
        <v>95.62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5" t="s">
        <v>19</v>
      </c>
      <c r="Q8" s="10" t="s">
        <v>20</v>
      </c>
    </row>
    <row r="9" customFormat="false" ht="12.8" hidden="false" customHeight="false" outlineLevel="0" collapsed="false">
      <c r="A9" s="1" t="s">
        <v>19</v>
      </c>
      <c r="B9" s="1" t="n">
        <v>40</v>
      </c>
      <c r="C9" s="1" t="n">
        <v>40</v>
      </c>
      <c r="D9" s="1" t="n">
        <v>-40</v>
      </c>
      <c r="E9" s="1" t="n">
        <v>-40</v>
      </c>
      <c r="F9" s="4" t="n">
        <v>93</v>
      </c>
      <c r="G9" s="3" t="n">
        <f aca="false">$Q$7</f>
        <v>95.62</v>
      </c>
      <c r="H9" s="11" t="n">
        <f aca="false">$Q$15</f>
        <v>400</v>
      </c>
      <c r="I9" s="1" t="n">
        <v>0</v>
      </c>
      <c r="J9" s="1" t="n">
        <v>1</v>
      </c>
      <c r="K9" s="1" t="n">
        <v>0</v>
      </c>
      <c r="L9" s="1" t="n">
        <v>0</v>
      </c>
      <c r="M9" s="1" t="n">
        <v>0</v>
      </c>
      <c r="N9" s="2" t="s">
        <v>19</v>
      </c>
      <c r="Q9" s="12" t="s">
        <v>21</v>
      </c>
    </row>
    <row r="10" customFormat="false" ht="12.8" hidden="false" customHeight="false" outlineLevel="0" collapsed="false">
      <c r="A10" s="1" t="s">
        <v>19</v>
      </c>
      <c r="B10" s="1" t="n">
        <v>40</v>
      </c>
      <c r="C10" s="1" t="n">
        <v>40</v>
      </c>
      <c r="D10" s="1" t="n">
        <v>-40</v>
      </c>
      <c r="E10" s="1" t="n">
        <v>-40</v>
      </c>
      <c r="F10" s="6" t="n">
        <v>94</v>
      </c>
      <c r="G10" s="1" t="n">
        <f aca="false">$Q$7+$Q$10</f>
        <v>595.62</v>
      </c>
      <c r="H10" s="11" t="n">
        <f aca="false">$Q$15</f>
        <v>400</v>
      </c>
      <c r="I10" s="1" t="n">
        <v>0</v>
      </c>
      <c r="J10" s="1" t="n">
        <v>1</v>
      </c>
      <c r="K10" s="1" t="n">
        <v>0</v>
      </c>
      <c r="L10" s="1" t="n">
        <v>0</v>
      </c>
      <c r="M10" s="1" t="n">
        <v>0</v>
      </c>
      <c r="N10" s="2" t="s">
        <v>19</v>
      </c>
      <c r="Q10" s="12" t="n">
        <v>500</v>
      </c>
      <c r="R10" s="10" t="s">
        <v>22</v>
      </c>
    </row>
    <row r="11" customFormat="false" ht="12.8" hidden="false" customHeight="false" outlineLevel="0" collapsed="false">
      <c r="A11" s="13" t="s">
        <v>23</v>
      </c>
      <c r="B11" s="13" t="n">
        <v>40</v>
      </c>
      <c r="C11" s="13" t="n">
        <v>40</v>
      </c>
      <c r="D11" s="13" t="n">
        <v>-40</v>
      </c>
      <c r="E11" s="13" t="n">
        <v>-40</v>
      </c>
      <c r="F11" s="14" t="n">
        <v>97</v>
      </c>
      <c r="G11" s="3" t="n">
        <f aca="false">$Q$7</f>
        <v>95.62</v>
      </c>
      <c r="H11" s="13" t="n">
        <v>0</v>
      </c>
      <c r="I11" s="13" t="n">
        <v>0</v>
      </c>
      <c r="J11" s="13" t="n">
        <v>1</v>
      </c>
      <c r="K11" s="13" t="n">
        <v>0</v>
      </c>
      <c r="L11" s="13" t="n">
        <v>0</v>
      </c>
      <c r="M11" s="13" t="n">
        <v>0</v>
      </c>
      <c r="N11" s="15" t="s">
        <v>23</v>
      </c>
    </row>
    <row r="12" customFormat="false" ht="12.8" hidden="false" customHeight="false" outlineLevel="0" collapsed="false">
      <c r="A12" s="11" t="s">
        <v>23</v>
      </c>
      <c r="B12" s="11" t="n">
        <v>40</v>
      </c>
      <c r="C12" s="11" t="n">
        <v>40</v>
      </c>
      <c r="D12" s="11" t="n">
        <v>-40</v>
      </c>
      <c r="E12" s="11" t="n">
        <v>-40</v>
      </c>
      <c r="F12" s="16" t="n">
        <v>95</v>
      </c>
      <c r="G12" s="3" t="n">
        <f aca="false">$Q$7</f>
        <v>95.62</v>
      </c>
      <c r="H12" s="11" t="n">
        <f aca="false">$Q$15</f>
        <v>400</v>
      </c>
      <c r="I12" s="11" t="n">
        <v>0</v>
      </c>
      <c r="J12" s="11" t="n">
        <v>1</v>
      </c>
      <c r="K12" s="11" t="n">
        <v>0</v>
      </c>
      <c r="L12" s="11" t="n">
        <v>0</v>
      </c>
      <c r="M12" s="11" t="n">
        <v>0</v>
      </c>
      <c r="N12" s="17" t="s">
        <v>23</v>
      </c>
      <c r="Q12" s="4" t="s">
        <v>24</v>
      </c>
    </row>
    <row r="13" customFormat="false" ht="12.8" hidden="false" customHeight="false" outlineLevel="0" collapsed="false">
      <c r="A13" s="11" t="s">
        <v>23</v>
      </c>
      <c r="B13" s="11" t="n">
        <v>40</v>
      </c>
      <c r="C13" s="11" t="n">
        <v>40</v>
      </c>
      <c r="D13" s="11" t="n">
        <v>-40</v>
      </c>
      <c r="E13" s="11" t="n">
        <v>-40</v>
      </c>
      <c r="F13" s="6" t="n">
        <v>94</v>
      </c>
      <c r="G13" s="3" t="n">
        <f aca="false">-Q10+Q7</f>
        <v>-404.38</v>
      </c>
      <c r="H13" s="11" t="n">
        <f aca="false">$Q$15</f>
        <v>400</v>
      </c>
      <c r="I13" s="11" t="n">
        <v>0</v>
      </c>
      <c r="J13" s="11" t="n">
        <v>1</v>
      </c>
      <c r="K13" s="11" t="n">
        <v>0</v>
      </c>
      <c r="L13" s="11" t="n">
        <v>0</v>
      </c>
      <c r="M13" s="11" t="n">
        <v>0</v>
      </c>
      <c r="N13" s="17" t="s">
        <v>23</v>
      </c>
      <c r="Q13" s="4"/>
    </row>
    <row r="14" customFormat="false" ht="12.8" hidden="false" customHeight="false" outlineLevel="0" collapsed="false">
      <c r="A14" s="11" t="s">
        <v>23</v>
      </c>
      <c r="B14" s="11" t="n">
        <v>40</v>
      </c>
      <c r="C14" s="11" t="n">
        <v>40</v>
      </c>
      <c r="D14" s="11" t="n">
        <v>-40</v>
      </c>
      <c r="E14" s="11" t="n">
        <v>-40</v>
      </c>
      <c r="F14" s="4" t="n">
        <v>93</v>
      </c>
      <c r="G14" s="3" t="n">
        <f aca="false">Q7-2*Q10</f>
        <v>-904.38</v>
      </c>
      <c r="H14" s="11" t="n">
        <f aca="false">$Q$15</f>
        <v>400</v>
      </c>
      <c r="I14" s="11" t="n">
        <v>0</v>
      </c>
      <c r="J14" s="11" t="n">
        <v>1</v>
      </c>
      <c r="K14" s="11" t="n">
        <v>0</v>
      </c>
      <c r="L14" s="11" t="n">
        <v>0</v>
      </c>
      <c r="M14" s="11" t="n">
        <v>0</v>
      </c>
      <c r="N14" s="17" t="s">
        <v>23</v>
      </c>
      <c r="Q14" s="4"/>
    </row>
    <row r="15" customFormat="false" ht="12.8" hidden="false" customHeight="false" outlineLevel="0" collapsed="false">
      <c r="A15" s="3" t="s">
        <v>25</v>
      </c>
      <c r="B15" s="3" t="n">
        <v>40</v>
      </c>
      <c r="C15" s="3" t="n">
        <v>40</v>
      </c>
      <c r="D15" s="3" t="n">
        <v>-40</v>
      </c>
      <c r="E15" s="3" t="n">
        <v>-40</v>
      </c>
      <c r="F15" s="18" t="n">
        <v>98</v>
      </c>
      <c r="G15" s="3" t="n">
        <f aca="false">$Q$7</f>
        <v>95.62</v>
      </c>
      <c r="H15" s="3" t="n">
        <v>0</v>
      </c>
      <c r="I15" s="3" t="n">
        <v>0</v>
      </c>
      <c r="J15" s="3" t="n">
        <v>1</v>
      </c>
      <c r="K15" s="3" t="n">
        <v>0</v>
      </c>
      <c r="L15" s="3" t="n">
        <v>0</v>
      </c>
      <c r="M15" s="3" t="n">
        <v>0</v>
      </c>
      <c r="N15" s="5" t="s">
        <v>25</v>
      </c>
      <c r="Q15" s="4" t="n">
        <v>400</v>
      </c>
      <c r="R15" s="10" t="s">
        <v>26</v>
      </c>
    </row>
    <row r="16" customFormat="false" ht="12.8" hidden="false" customHeight="false" outlineLevel="0" collapsed="false">
      <c r="A16" s="1" t="s">
        <v>25</v>
      </c>
      <c r="B16" s="1" t="n">
        <v>40</v>
      </c>
      <c r="C16" s="1" t="n">
        <v>40</v>
      </c>
      <c r="D16" s="1" t="n">
        <v>-40</v>
      </c>
      <c r="E16" s="1" t="n">
        <v>-40</v>
      </c>
      <c r="F16" s="4" t="n">
        <v>93</v>
      </c>
      <c r="G16" s="3" t="n">
        <f aca="false">$Q$7</f>
        <v>95.62</v>
      </c>
      <c r="H16" s="11" t="n">
        <f aca="false">$Q$15*2</f>
        <v>800</v>
      </c>
      <c r="I16" s="1" t="n">
        <v>0</v>
      </c>
      <c r="J16" s="1" t="n">
        <v>1</v>
      </c>
      <c r="K16" s="1" t="n">
        <v>0</v>
      </c>
      <c r="L16" s="1" t="n">
        <v>0</v>
      </c>
      <c r="M16" s="1" t="n">
        <v>0</v>
      </c>
      <c r="N16" s="2" t="s">
        <v>25</v>
      </c>
    </row>
    <row r="17" customFormat="false" ht="12.8" hidden="false" customHeight="false" outlineLevel="0" collapsed="false">
      <c r="A17" s="1" t="s">
        <v>25</v>
      </c>
      <c r="B17" s="1" t="n">
        <v>40</v>
      </c>
      <c r="C17" s="1" t="n">
        <v>40</v>
      </c>
      <c r="D17" s="1" t="n">
        <v>-40</v>
      </c>
      <c r="E17" s="1" t="n">
        <v>-40</v>
      </c>
      <c r="F17" s="9" t="n">
        <v>96</v>
      </c>
      <c r="G17" s="3" t="n">
        <f aca="false">$Q$7</f>
        <v>95.62</v>
      </c>
      <c r="H17" s="11" t="n">
        <f aca="false">$Q$15</f>
        <v>400</v>
      </c>
      <c r="I17" s="1" t="n">
        <v>0</v>
      </c>
      <c r="J17" s="1" t="n">
        <v>1</v>
      </c>
      <c r="K17" s="1" t="n">
        <v>0</v>
      </c>
      <c r="L17" s="1" t="n">
        <v>0</v>
      </c>
      <c r="M17" s="1" t="n">
        <v>0</v>
      </c>
      <c r="N17" s="2" t="s">
        <v>25</v>
      </c>
    </row>
    <row r="18" customFormat="false" ht="12.8" hidden="false" customHeight="false" outlineLevel="0" collapsed="false">
      <c r="A18" s="19" t="s">
        <v>27</v>
      </c>
      <c r="B18" s="19" t="n">
        <v>40</v>
      </c>
      <c r="C18" s="19" t="n">
        <v>40</v>
      </c>
      <c r="D18" s="19" t="n">
        <v>-40</v>
      </c>
      <c r="E18" s="19" t="n">
        <v>-40</v>
      </c>
      <c r="F18" s="20" t="n">
        <v>99</v>
      </c>
      <c r="G18" s="3" t="n">
        <f aca="false">$Q$7</f>
        <v>95.62</v>
      </c>
      <c r="H18" s="19" t="n">
        <v>0</v>
      </c>
      <c r="I18" s="19" t="n">
        <v>0</v>
      </c>
      <c r="J18" s="19" t="n">
        <v>1</v>
      </c>
      <c r="K18" s="19" t="n">
        <v>0</v>
      </c>
      <c r="L18" s="19" t="n">
        <v>0</v>
      </c>
      <c r="M18" s="19" t="n">
        <v>0</v>
      </c>
      <c r="N18" s="21" t="s">
        <v>27</v>
      </c>
    </row>
    <row r="19" customFormat="false" ht="12.8" hidden="false" customHeight="false" outlineLevel="0" collapsed="false">
      <c r="A19" s="22" t="s">
        <v>27</v>
      </c>
      <c r="B19" s="22" t="n">
        <v>40</v>
      </c>
      <c r="C19" s="22" t="n">
        <v>40</v>
      </c>
      <c r="D19" s="22" t="n">
        <v>-40</v>
      </c>
      <c r="E19" s="22" t="n">
        <v>-40</v>
      </c>
      <c r="F19" s="23" t="n">
        <v>96</v>
      </c>
      <c r="G19" s="1" t="n">
        <f aca="false">$Q$7-$Q$10</f>
        <v>-404.38</v>
      </c>
      <c r="H19" s="11" t="n">
        <f aca="false">$Q$15</f>
        <v>400</v>
      </c>
      <c r="I19" s="22" t="n">
        <v>0</v>
      </c>
      <c r="J19" s="22" t="n">
        <v>1</v>
      </c>
      <c r="K19" s="22" t="n">
        <v>0</v>
      </c>
      <c r="L19" s="22" t="n">
        <v>0</v>
      </c>
      <c r="M19" s="22" t="n">
        <v>0</v>
      </c>
      <c r="N19" s="24" t="s">
        <v>27</v>
      </c>
    </row>
    <row r="20" customFormat="false" ht="12.8" hidden="false" customHeight="false" outlineLevel="0" collapsed="false">
      <c r="A20" s="22" t="s">
        <v>27</v>
      </c>
      <c r="B20" s="22" t="n">
        <v>40</v>
      </c>
      <c r="C20" s="22" t="n">
        <v>40</v>
      </c>
      <c r="D20" s="22" t="n">
        <v>-40</v>
      </c>
      <c r="E20" s="22" t="n">
        <v>-40</v>
      </c>
      <c r="F20" s="6" t="n">
        <v>94</v>
      </c>
      <c r="G20" s="3" t="n">
        <f aca="false">$Q$7</f>
        <v>95.62</v>
      </c>
      <c r="H20" s="11" t="n">
        <f aca="false">$Q$15*2</f>
        <v>800</v>
      </c>
      <c r="I20" s="22" t="n">
        <v>0</v>
      </c>
      <c r="J20" s="22" t="n">
        <v>1</v>
      </c>
      <c r="K20" s="22" t="n">
        <v>0</v>
      </c>
      <c r="L20" s="22" t="n">
        <v>0</v>
      </c>
      <c r="M20" s="22" t="n">
        <v>0</v>
      </c>
      <c r="N20" s="24" t="s">
        <v>27</v>
      </c>
    </row>
    <row r="21" customFormat="false" ht="12.8" hidden="false" customHeight="false" outlineLevel="0" collapsed="false">
      <c r="A21" s="22" t="s">
        <v>27</v>
      </c>
      <c r="B21" s="22" t="n">
        <v>40</v>
      </c>
      <c r="C21" s="22" t="n">
        <v>40</v>
      </c>
      <c r="D21" s="22" t="n">
        <v>-40</v>
      </c>
      <c r="E21" s="22" t="n">
        <v>-40</v>
      </c>
      <c r="F21" s="4" t="n">
        <v>93</v>
      </c>
      <c r="G21" s="1" t="n">
        <f aca="false">$Q$7-$Q$10</f>
        <v>-404.38</v>
      </c>
      <c r="H21" s="11" t="n">
        <f aca="false">$Q$15*2</f>
        <v>800</v>
      </c>
      <c r="I21" s="22" t="n">
        <v>0</v>
      </c>
      <c r="J21" s="22" t="n">
        <v>1</v>
      </c>
      <c r="K21" s="22" t="n">
        <v>0</v>
      </c>
      <c r="L21" s="22" t="n">
        <v>0</v>
      </c>
      <c r="M21" s="22" t="n">
        <v>0</v>
      </c>
      <c r="N21" s="24" t="s">
        <v>27</v>
      </c>
    </row>
    <row r="22" customFormat="false" ht="12.8" hidden="false" customHeight="false" outlineLevel="0" collapsed="false">
      <c r="A22" s="22" t="s">
        <v>27</v>
      </c>
      <c r="B22" s="22" t="n">
        <v>40</v>
      </c>
      <c r="C22" s="22" t="n">
        <v>40</v>
      </c>
      <c r="D22" s="22" t="n">
        <v>-40</v>
      </c>
      <c r="E22" s="22" t="n">
        <v>-40</v>
      </c>
      <c r="F22" s="7" t="n">
        <v>95</v>
      </c>
      <c r="G22" s="1" t="n">
        <f aca="false">$Q$7+$Q$10</f>
        <v>595.62</v>
      </c>
      <c r="H22" s="11" t="n">
        <f aca="false">$Q$15*2</f>
        <v>800</v>
      </c>
      <c r="I22" s="22" t="n">
        <v>0</v>
      </c>
      <c r="J22" s="22" t="n">
        <v>1</v>
      </c>
      <c r="K22" s="22" t="n">
        <v>0</v>
      </c>
      <c r="L22" s="22" t="n">
        <v>0</v>
      </c>
      <c r="M22" s="22" t="n">
        <v>0</v>
      </c>
      <c r="N22" s="24" t="s">
        <v>27</v>
      </c>
    </row>
    <row r="23" customFormat="false" ht="12.8" hidden="false" customHeight="false" outlineLevel="0" collapsed="false">
      <c r="A23" s="3" t="s">
        <v>28</v>
      </c>
      <c r="B23" s="3" t="n">
        <v>40</v>
      </c>
      <c r="C23" s="3" t="n">
        <v>40</v>
      </c>
      <c r="D23" s="3" t="n">
        <v>-40</v>
      </c>
      <c r="E23" s="3" t="n">
        <v>-40</v>
      </c>
      <c r="F23" s="3" t="n">
        <v>100</v>
      </c>
      <c r="G23" s="3" t="n">
        <f aca="false">$Q$7</f>
        <v>95.62</v>
      </c>
      <c r="H23" s="3" t="n">
        <v>0</v>
      </c>
      <c r="I23" s="3" t="n">
        <v>0</v>
      </c>
      <c r="J23" s="3" t="n">
        <v>1</v>
      </c>
      <c r="K23" s="3" t="n">
        <v>0</v>
      </c>
      <c r="L23" s="3" t="n">
        <v>0</v>
      </c>
      <c r="M23" s="3" t="n">
        <v>0</v>
      </c>
      <c r="N23" s="5" t="s">
        <v>28</v>
      </c>
    </row>
    <row r="24" customFormat="false" ht="12.8" hidden="false" customHeight="false" outlineLevel="0" collapsed="false">
      <c r="A24" s="1" t="s">
        <v>28</v>
      </c>
      <c r="B24" s="1" t="n">
        <v>40</v>
      </c>
      <c r="C24" s="1" t="n">
        <v>40</v>
      </c>
      <c r="D24" s="1" t="n">
        <v>-40</v>
      </c>
      <c r="E24" s="1" t="n">
        <v>-40</v>
      </c>
      <c r="F24" s="25" t="n">
        <v>97</v>
      </c>
      <c r="G24" s="3" t="n">
        <f aca="false">$Q$7</f>
        <v>95.62</v>
      </c>
      <c r="H24" s="11" t="n">
        <f aca="false">$Q$15</f>
        <v>400</v>
      </c>
      <c r="I24" s="1" t="n">
        <v>0</v>
      </c>
      <c r="J24" s="1" t="n">
        <v>1</v>
      </c>
      <c r="K24" s="1" t="n">
        <v>0</v>
      </c>
      <c r="L24" s="1" t="n">
        <v>0</v>
      </c>
      <c r="M24" s="1" t="n">
        <v>0</v>
      </c>
      <c r="N24" s="2" t="s">
        <v>28</v>
      </c>
    </row>
    <row r="25" customFormat="false" ht="12.8" hidden="false" customHeight="false" outlineLevel="0" collapsed="false">
      <c r="A25" s="3" t="s">
        <v>28</v>
      </c>
      <c r="B25" s="3" t="n">
        <v>40</v>
      </c>
      <c r="C25" s="3" t="n">
        <v>40</v>
      </c>
      <c r="D25" s="3" t="n">
        <v>-40</v>
      </c>
      <c r="E25" s="3" t="n">
        <v>-40</v>
      </c>
      <c r="F25" s="6" t="n">
        <v>94</v>
      </c>
      <c r="G25" s="3" t="n">
        <f aca="false">$Q$7-$Q$10</f>
        <v>-404.38</v>
      </c>
      <c r="H25" s="11" t="n">
        <f aca="false">$Q$15*2</f>
        <v>800</v>
      </c>
      <c r="I25" s="3" t="n">
        <v>0</v>
      </c>
      <c r="J25" s="3" t="n">
        <v>1</v>
      </c>
      <c r="K25" s="3" t="n">
        <v>0</v>
      </c>
      <c r="L25" s="3" t="n">
        <v>0</v>
      </c>
      <c r="M25" s="3" t="n">
        <v>0</v>
      </c>
      <c r="N25" s="5" t="s">
        <v>28</v>
      </c>
    </row>
    <row r="26" customFormat="false" ht="12.8" hidden="false" customHeight="false" outlineLevel="0" collapsed="false">
      <c r="A26" s="3" t="s">
        <v>28</v>
      </c>
      <c r="B26" s="3" t="n">
        <v>40</v>
      </c>
      <c r="C26" s="3" t="n">
        <v>40</v>
      </c>
      <c r="D26" s="3" t="n">
        <v>-40</v>
      </c>
      <c r="E26" s="3" t="n">
        <v>-40</v>
      </c>
      <c r="F26" s="7" t="n">
        <v>95</v>
      </c>
      <c r="G26" s="3" t="n">
        <f aca="false">$Q$7</f>
        <v>95.62</v>
      </c>
      <c r="H26" s="11" t="n">
        <f aca="false">$Q$15*2</f>
        <v>800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5" t="s">
        <v>28</v>
      </c>
    </row>
    <row r="27" customFormat="false" ht="12.8" hidden="false" customHeight="false" outlineLevel="0" collapsed="false">
      <c r="N2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2026-01-20T16:42:47Z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